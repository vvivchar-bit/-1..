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 vadim\Don\"/>
    </mc:Choice>
  </mc:AlternateContent>
  <xr:revisionPtr revIDLastSave="0" documentId="8_{307A8578-5307-44CE-9A43-4CE95E9DED1B}" xr6:coauthVersionLast="47" xr6:coauthVersionMax="47" xr10:uidLastSave="{00000000-0000-0000-0000-000000000000}"/>
  <bookViews>
    <workbookView xWindow="3225" yWindow="2955" windowWidth="28800" windowHeight="17445" activeTab="2" xr2:uid="{5309A861-BCB6-45DA-8178-4CEB38934863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B6" i="3"/>
  <c r="D4" i="3"/>
  <c r="D3" i="3"/>
  <c r="D5" i="3"/>
  <c r="D2" i="3"/>
</calcChain>
</file>

<file path=xl/sharedStrings.xml><?xml version="1.0" encoding="utf-8"?>
<sst xmlns="http://schemas.openxmlformats.org/spreadsheetml/2006/main" count="49" uniqueCount="46">
  <si>
    <t>Роль</t>
  </si>
  <si>
    <t>Учасник / група</t>
  </si>
  <si>
    <t>Основні обов’язки</t>
  </si>
  <si>
    <t>Замовник</t>
  </si>
  <si>
    <t>Користувачі</t>
  </si>
  <si>
    <t>Охоронець</t>
  </si>
  <si>
    <t>Адміністратор системи</t>
  </si>
  <si>
    <t>Розробник</t>
  </si>
  <si>
    <t>Тестувальник</t>
  </si>
  <si>
    <t>Адміністрація навчального заклад</t>
  </si>
  <si>
    <t>Студенти, викладачі, працівники, відвідувачі</t>
  </si>
  <si>
    <t>Працівник пункту пропуску</t>
  </si>
  <si>
    <t>Відповідальна особа</t>
  </si>
  <si>
    <t>Виконавець проєкту</t>
  </si>
  <si>
    <t>Формує потребу в системі, погоджує вимоги</t>
  </si>
  <si>
    <t>Використовують систему пропускного контролю</t>
  </si>
  <si>
    <t>Перевіряє доступ, фіксує вхід і вихід</t>
  </si>
  <si>
    <t>Керує користувачами, пропусками та статусами доступу</t>
  </si>
  <si>
    <t>Реалізує вебпрототип системи</t>
  </si>
  <si>
    <t>Перевіряє коректність роботи системи</t>
  </si>
  <si>
    <t>Інтерція</t>
  </si>
  <si>
    <t>Назва</t>
  </si>
  <si>
    <t>Зміст роботи</t>
  </si>
  <si>
    <t>Результат</t>
  </si>
  <si>
    <t>Аналіз вимог</t>
  </si>
  <si>
    <t>UML-моделювання</t>
  </si>
  <si>
    <t>Створення вебпрототипу</t>
  </si>
  <si>
    <t>Тестування</t>
  </si>
  <si>
    <t>Документування</t>
  </si>
  <si>
    <t>Визначення учасників, функціональних і нефункціональних вимог</t>
  </si>
  <si>
    <t>Побудова Use Case Diagram і Class Diagram</t>
  </si>
  <si>
    <t>Розробка HTML/CSS/JS-прототипу</t>
  </si>
  <si>
    <t>Перевірка логіки роботи, форм і журналу відвідувань</t>
  </si>
  <si>
    <t>Підготовка звітів, README та матеріалів для GitHub</t>
  </si>
  <si>
    <t>Список вимог</t>
  </si>
  <si>
    <t>UML-діаграми</t>
  </si>
  <si>
    <t>Робочий прототип</t>
  </si>
  <si>
    <t>Виявлені та усунені недоліки</t>
  </si>
  <si>
    <t>Комплект документації</t>
  </si>
  <si>
    <t>Вид робіт</t>
  </si>
  <si>
    <t>Трудомісткість, год</t>
  </si>
  <si>
    <t>Ставка, грн/год</t>
  </si>
  <si>
    <t>Вартість, грн</t>
  </si>
  <si>
    <t>Аналітика</t>
  </si>
  <si>
    <t>Розробка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</si>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</sst>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Розподіл витрат за видами робіт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Лист3!$D$1</c:f>
              <c:strCache>
                <c:ptCount val="1"/>
                <c:pt idx="0">
                  <c:v>Вартість, грн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(Лист3!$A$2,Лист3!$A$2:$A$5)</c:f>
              <c:strCache>
                <c:ptCount val="5"/>
                <c:pt idx="0">
                  <c:v>Аналітика</c:v>
                </c:pt>
                <c:pt idx="1">
                  <c:v>Аналітика</c:v>
                </c:pt>
                <c:pt idx="2">
                  <c:v>Розробка</c:v>
                </c:pt>
                <c:pt idx="3">
                  <c:v>Тестування</c:v>
                </c:pt>
                <c:pt idx="4">
                  <c:v>Документування</c:v>
                </c:pt>
              </c:strCache>
            </c:strRef>
          </c:cat>
          <c:val>
            <c:numRef>
              <c:f>Лист3!$D$2:$D$5</c:f>
              <c:numCache>
                <c:formatCode>General</c:formatCode>
                <c:ptCount val="4"/>
                <c:pt idx="0">
                  <c:v>2000</c:v>
                </c:pt>
                <c:pt idx="1">
                  <c:v>5000</c:v>
                </c:pt>
                <c:pt idx="2">
                  <c:v>1440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E-4ABC-A227-F65C0AA8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678912"/>
        <c:axId val="2115681312"/>
      </c:barChart>
      <c:catAx>
        <c:axId val="21156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81312"/>
        <c:crosses val="autoZero"/>
        <c:auto val="1"/>
        <c:lblAlgn val="ctr"/>
        <c:lblOffset val="100"/>
        <c:noMultiLvlLbl val="0"/>
      </c:catAx>
      <c:valAx>
        <c:axId val="21156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0</xdr:row>
      <xdr:rowOff>14287</xdr:rowOff>
    </xdr:from>
    <xdr:to>
      <xdr:col>12</xdr:col>
      <xdr:colOff>319087</xdr:colOff>
      <xdr:row>14</xdr:row>
      <xdr:rowOff>90487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4679CF7-0F15-C83E-745C-ACF556921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27C11-9AA2-4DDC-8705-8BEE1B3B127A}" name="Таблица1" displayName="Таблица1" ref="A1:C7" totalsRowShown="0">
  <autoFilter ref="A1:C7" xr:uid="{A8827C11-9AA2-4DDC-8705-8BEE1B3B127A}"/>
  <tableColumns count="3">
    <tableColumn id="1" xr3:uid="{37947DD9-3279-4CD6-A691-2ECD615A9BBB}" name="Роль"/>
    <tableColumn id="2" xr3:uid="{7284DEB3-3DF7-4911-8971-605A9600123D}" name="Учасник / група"/>
    <tableColumn id="3" xr3:uid="{7C03AA6C-9224-403F-A1DC-28369DA8ADB6}" name="Основні обов’яз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52E071-E63A-4FE5-ADCA-EBD452FEDE34}" name="Таблица2" displayName="Таблица2" ref="A1:D6" totalsRowShown="0" headerRowDxfId="0">
  <autoFilter ref="A1:D6" xr:uid="{2D52E071-E63A-4FE5-ADCA-EBD452FEDE34}"/>
  <tableColumns count="4">
    <tableColumn id="1" xr3:uid="{A46EE5C6-9C4D-4F9B-B528-10E0F24FE09E}" name="Інтерція" dataDxfId="2"/>
    <tableColumn id="2" xr3:uid="{893059AF-79C1-406A-A528-23AAEAA11AE4}" name="Назва" dataDxfId="1"/>
    <tableColumn id="3" xr3:uid="{4E47C066-17D8-4063-92C1-2CF699214FF1}" name="Зміст роботи"/>
    <tableColumn id="4" xr3:uid="{2D670F33-AB89-4C4B-A179-AEF6BCDE2845}" name="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1C11-998D-4EB0-85FE-168C6771D3C0}">
  <dimension ref="A1:C7"/>
  <sheetViews>
    <sheetView workbookViewId="0">
      <selection activeCell="C21" sqref="C21"/>
    </sheetView>
  </sheetViews>
  <sheetFormatPr defaultRowHeight="15" x14ac:dyDescent="0.25"/>
  <cols>
    <col min="1" max="1" width="22.7109375" customWidth="1"/>
    <col min="2" max="2" width="45.7109375" customWidth="1"/>
    <col min="3" max="3" width="53.85546875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ht="30" x14ac:dyDescent="0.25">
      <c r="A2" t="s">
        <v>3</v>
      </c>
      <c r="B2" t="s">
        <v>9</v>
      </c>
      <c r="C2" s="2" t="s">
        <v>14</v>
      </c>
    </row>
    <row r="3" spans="1:3" x14ac:dyDescent="0.25">
      <c r="A3" t="s">
        <v>4</v>
      </c>
      <c r="B3" t="s">
        <v>10</v>
      </c>
      <c r="C3" t="s">
        <v>15</v>
      </c>
    </row>
    <row r="4" spans="1:3" x14ac:dyDescent="0.25">
      <c r="A4" t="s">
        <v>5</v>
      </c>
      <c r="B4" s="2" t="s">
        <v>11</v>
      </c>
      <c r="C4" t="s">
        <v>16</v>
      </c>
    </row>
    <row r="5" spans="1:3" x14ac:dyDescent="0.25">
      <c r="A5" t="s">
        <v>6</v>
      </c>
      <c r="B5" s="2" t="s">
        <v>12</v>
      </c>
      <c r="C5" t="s">
        <v>17</v>
      </c>
    </row>
    <row r="6" spans="1:3" x14ac:dyDescent="0.25">
      <c r="A6" t="s">
        <v>7</v>
      </c>
      <c r="B6" t="s">
        <v>13</v>
      </c>
      <c r="C6" t="s">
        <v>18</v>
      </c>
    </row>
    <row r="7" spans="1:3" x14ac:dyDescent="0.25">
      <c r="A7" t="s">
        <v>8</v>
      </c>
      <c r="B7" t="s">
        <v>13</v>
      </c>
      <c r="C7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ECEA-2323-44A2-AB3A-FCDC027E13B9}">
  <dimension ref="A1:D7"/>
  <sheetViews>
    <sheetView workbookViewId="0">
      <selection sqref="A1:D6"/>
    </sheetView>
  </sheetViews>
  <sheetFormatPr defaultRowHeight="15" x14ac:dyDescent="0.25"/>
  <cols>
    <col min="1" max="1" width="14.7109375" customWidth="1"/>
    <col min="2" max="2" width="25.42578125" customWidth="1"/>
    <col min="3" max="3" width="56.28515625" customWidth="1"/>
    <col min="4" max="4" width="42.42578125" customWidth="1"/>
  </cols>
  <sheetData>
    <row r="1" spans="1:4" x14ac:dyDescent="0.25">
      <c r="A1" s="5" t="s">
        <v>20</v>
      </c>
      <c r="B1" s="3" t="s">
        <v>21</v>
      </c>
      <c r="C1" s="3" t="s">
        <v>22</v>
      </c>
      <c r="D1" s="3" t="s">
        <v>23</v>
      </c>
    </row>
    <row r="2" spans="1:4" ht="30" x14ac:dyDescent="0.25">
      <c r="A2" s="6">
        <v>1</v>
      </c>
      <c r="B2" s="4" t="s">
        <v>24</v>
      </c>
      <c r="C2" s="1" t="s">
        <v>29</v>
      </c>
      <c r="D2" t="s">
        <v>34</v>
      </c>
    </row>
    <row r="3" spans="1:4" x14ac:dyDescent="0.25">
      <c r="A3" s="7">
        <v>2</v>
      </c>
      <c r="B3" t="s">
        <v>25</v>
      </c>
      <c r="C3" t="s">
        <v>30</v>
      </c>
      <c r="D3" t="s">
        <v>35</v>
      </c>
    </row>
    <row r="4" spans="1:4" x14ac:dyDescent="0.25">
      <c r="A4" s="7">
        <v>3</v>
      </c>
      <c r="B4" s="2" t="s">
        <v>26</v>
      </c>
      <c r="C4" t="s">
        <v>31</v>
      </c>
      <c r="D4" t="s">
        <v>36</v>
      </c>
    </row>
    <row r="5" spans="1:4" x14ac:dyDescent="0.25">
      <c r="A5" s="7">
        <v>4</v>
      </c>
      <c r="B5" s="2" t="s">
        <v>27</v>
      </c>
      <c r="C5" t="s">
        <v>32</v>
      </c>
      <c r="D5" t="s">
        <v>37</v>
      </c>
    </row>
    <row r="6" spans="1:4" x14ac:dyDescent="0.25">
      <c r="A6" s="7">
        <v>5</v>
      </c>
      <c r="B6" s="2" t="s">
        <v>28</v>
      </c>
      <c r="C6" t="s">
        <v>33</v>
      </c>
      <c r="D6" t="s">
        <v>38</v>
      </c>
    </row>
    <row r="7" spans="1:4" x14ac:dyDescent="0.25">
      <c r="B7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C396-EBB2-48F3-BF6D-B26543C891C4}">
  <dimension ref="A1:D6"/>
  <sheetViews>
    <sheetView tabSelected="1" workbookViewId="0">
      <selection activeCell="J28" sqref="J28"/>
    </sheetView>
  </sheetViews>
  <sheetFormatPr defaultRowHeight="15" x14ac:dyDescent="0.25"/>
  <cols>
    <col min="1" max="1" width="19.42578125" customWidth="1"/>
    <col min="2" max="2" width="22.7109375" customWidth="1"/>
    <col min="3" max="3" width="31.28515625" customWidth="1"/>
    <col min="4" max="4" width="43.7109375" customWidth="1"/>
  </cols>
  <sheetData>
    <row r="1" spans="1:4" x14ac:dyDescent="0.25">
      <c r="A1" t="s">
        <v>39</v>
      </c>
      <c r="B1" s="4" t="s">
        <v>40</v>
      </c>
      <c r="C1" s="4" t="s">
        <v>41</v>
      </c>
      <c r="D1" t="s">
        <v>42</v>
      </c>
    </row>
    <row r="2" spans="1:4" x14ac:dyDescent="0.25">
      <c r="A2" t="s">
        <v>43</v>
      </c>
      <c r="B2" s="4">
        <v>10</v>
      </c>
      <c r="C2" s="4">
        <v>200</v>
      </c>
      <c r="D2">
        <f>B2*C2</f>
        <v>2000</v>
      </c>
    </row>
    <row r="3" spans="1:4" x14ac:dyDescent="0.25">
      <c r="A3" t="s">
        <v>44</v>
      </c>
      <c r="B3" s="4">
        <v>20</v>
      </c>
      <c r="C3" s="4">
        <v>250</v>
      </c>
      <c r="D3">
        <f>B3*C3</f>
        <v>5000</v>
      </c>
    </row>
    <row r="4" spans="1:4" x14ac:dyDescent="0.25">
      <c r="A4" t="s">
        <v>27</v>
      </c>
      <c r="B4" s="4">
        <v>8</v>
      </c>
      <c r="C4" s="4">
        <v>180</v>
      </c>
      <c r="D4">
        <f>B4*C4</f>
        <v>1440</v>
      </c>
    </row>
    <row r="5" spans="1:4" x14ac:dyDescent="0.25">
      <c r="A5" t="s">
        <v>28</v>
      </c>
      <c r="B5" s="4">
        <v>6</v>
      </c>
      <c r="C5" s="4">
        <v>150</v>
      </c>
      <c r="D5">
        <f>B5*C5</f>
        <v>900</v>
      </c>
    </row>
    <row r="6" spans="1:4" x14ac:dyDescent="0.25">
      <c r="A6" t="s">
        <v>45</v>
      </c>
      <c r="B6" s="4">
        <f>SUM(B2:B5)</f>
        <v>44</v>
      </c>
      <c r="D6">
        <f>SUM(D2:D5)</f>
        <v>9340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Vadim</cp:lastModifiedBy>
  <dcterms:created xsi:type="dcterms:W3CDTF">2026-05-05T10:46:08Z</dcterms:created>
  <dcterms:modified xsi:type="dcterms:W3CDTF">2026-05-05T11:16:11Z</dcterms:modified>
</cp:coreProperties>
</file>